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目录" sheetId="1" r:id="rId1"/>
    <sheet name="装备强化" sheetId="2" r:id="rId2"/>
    <sheet name="期望计算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G29" i="3" l="1"/>
  <c r="G28" i="3"/>
  <c r="G27" i="3"/>
  <c r="G26" i="3"/>
  <c r="G25" i="3"/>
  <c r="G24" i="3"/>
  <c r="G23" i="3"/>
  <c r="B32" i="3" l="1"/>
  <c r="B7" i="3" l="1"/>
  <c r="B33" i="3" l="1"/>
  <c r="B3" i="3"/>
  <c r="B11" i="3"/>
  <c r="D40" i="2" l="1"/>
  <c r="H29" i="2"/>
  <c r="G30" i="2"/>
  <c r="G29" i="2"/>
  <c r="G31" i="2" l="1"/>
  <c r="H30" i="2"/>
  <c r="K23" i="2"/>
  <c r="H23" i="2" s="1"/>
  <c r="G23" i="2" s="1"/>
  <c r="K22" i="2" s="1"/>
  <c r="I22" i="2"/>
  <c r="L7" i="2"/>
  <c r="G7" i="2"/>
  <c r="H6" i="2"/>
  <c r="G6" i="2"/>
  <c r="G32" i="2" l="1"/>
  <c r="H31" i="2"/>
  <c r="H32" i="2"/>
  <c r="I21" i="2"/>
  <c r="H22" i="2"/>
  <c r="G22" i="2" s="1"/>
  <c r="K21" i="2" s="1"/>
  <c r="L8" i="2"/>
  <c r="M8" i="2"/>
  <c r="H7" i="2"/>
  <c r="G33" i="2" l="1"/>
  <c r="G8" i="2"/>
  <c r="N9" i="2" s="1"/>
  <c r="I20" i="2"/>
  <c r="H21" i="2"/>
  <c r="G21" i="2" s="1"/>
  <c r="K20" i="2" s="1"/>
  <c r="L9" i="2" l="1"/>
  <c r="G9" i="2" s="1"/>
  <c r="H8" i="2"/>
  <c r="G34" i="2"/>
  <c r="H33" i="2"/>
  <c r="H34" i="2"/>
  <c r="M9" i="2"/>
  <c r="H20" i="2"/>
  <c r="G20" i="2" s="1"/>
  <c r="K19" i="2" s="1"/>
  <c r="I19" i="2"/>
  <c r="N10" i="2"/>
  <c r="H9" i="2"/>
  <c r="L10" i="2"/>
  <c r="O10" i="2"/>
  <c r="M10" i="2"/>
  <c r="G35" i="2" l="1"/>
  <c r="H35" i="2" s="1"/>
  <c r="G10" i="2"/>
  <c r="L11" i="2" s="1"/>
  <c r="I18" i="2"/>
  <c r="H19" i="2"/>
  <c r="G19" i="2"/>
  <c r="K18" i="2" s="1"/>
  <c r="H46" i="2" l="1"/>
  <c r="G36" i="2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H51" i="2"/>
  <c r="H50" i="2"/>
  <c r="H44" i="2"/>
  <c r="H49" i="2"/>
  <c r="H45" i="2"/>
  <c r="H39" i="2"/>
  <c r="H47" i="2"/>
  <c r="H36" i="2"/>
  <c r="H38" i="2"/>
  <c r="H53" i="2"/>
  <c r="H37" i="2"/>
  <c r="H41" i="2"/>
  <c r="H43" i="2"/>
  <c r="H42" i="2"/>
  <c r="H52" i="2"/>
  <c r="H54" i="2"/>
  <c r="O11" i="2"/>
  <c r="H10" i="2"/>
  <c r="P11" i="2"/>
  <c r="G11" i="2" s="1"/>
  <c r="N11" i="2"/>
  <c r="M11" i="2"/>
  <c r="I17" i="2"/>
  <c r="H18" i="2"/>
  <c r="G18" i="2" s="1"/>
  <c r="K17" i="2" s="1"/>
  <c r="J17" i="2"/>
  <c r="H40" i="2" l="1"/>
  <c r="H48" i="2"/>
  <c r="M12" i="2"/>
  <c r="H11" i="2"/>
  <c r="N12" i="2"/>
  <c r="L12" i="2"/>
  <c r="G12" i="2" s="1"/>
  <c r="H12" i="2" s="1"/>
  <c r="Q12" i="2"/>
  <c r="P12" i="2"/>
  <c r="O12" i="2"/>
  <c r="H17" i="2"/>
  <c r="G17" i="2"/>
  <c r="L17" i="2"/>
  <c r="L18" i="2" s="1"/>
  <c r="L19" i="2" s="1"/>
  <c r="L20" i="2" s="1"/>
  <c r="L21" i="2" s="1"/>
  <c r="L22" i="2" s="1"/>
  <c r="L23" i="2" s="1"/>
</calcChain>
</file>

<file path=xl/sharedStrings.xml><?xml version="1.0" encoding="utf-8"?>
<sst xmlns="http://schemas.openxmlformats.org/spreadsheetml/2006/main" count="118" uniqueCount="95">
  <si>
    <t>序号</t>
    <phoneticPr fontId="1" type="noConversion"/>
  </si>
  <si>
    <t>公式名</t>
    <phoneticPr fontId="1" type="noConversion"/>
  </si>
  <si>
    <t>适用功能</t>
    <phoneticPr fontId="1" type="noConversion"/>
  </si>
  <si>
    <t>链接</t>
    <phoneticPr fontId="1" type="noConversion"/>
  </si>
  <si>
    <t>马尔可夫链</t>
    <phoneticPr fontId="1" type="noConversion"/>
  </si>
  <si>
    <t>装备强化</t>
    <phoneticPr fontId="1" type="noConversion"/>
  </si>
  <si>
    <t>期望</t>
    <phoneticPr fontId="2" type="noConversion"/>
  </si>
  <si>
    <t>成功率</t>
    <phoneticPr fontId="2" type="noConversion"/>
  </si>
  <si>
    <t>失败率</t>
    <phoneticPr fontId="2" type="noConversion"/>
  </si>
  <si>
    <t>降级率</t>
    <phoneticPr fontId="2" type="noConversion"/>
  </si>
  <si>
    <t>p(n)</t>
    <phoneticPr fontId="2" type="noConversion"/>
  </si>
  <si>
    <t>p(s)</t>
    <phoneticPr fontId="2" type="noConversion"/>
  </si>
  <si>
    <t>p(f)</t>
    <phoneticPr fontId="2" type="noConversion"/>
  </si>
  <si>
    <t>p(d)</t>
    <phoneticPr fontId="2" type="noConversion"/>
  </si>
  <si>
    <t>等级</t>
    <phoneticPr fontId="4" type="noConversion"/>
  </si>
  <si>
    <t>升级（+1）</t>
    <phoneticPr fontId="4" type="noConversion"/>
  </si>
  <si>
    <t>不变（+0）</t>
    <phoneticPr fontId="4" type="noConversion"/>
  </si>
  <si>
    <t>降级（-1）</t>
    <phoneticPr fontId="4" type="noConversion"/>
  </si>
  <si>
    <t>归零（→0）</t>
    <phoneticPr fontId="4" type="noConversion"/>
  </si>
  <si>
    <t>爆掉（→0）</t>
    <phoneticPr fontId="4" type="noConversion"/>
  </si>
  <si>
    <t>次数</t>
    <phoneticPr fontId="1" type="noConversion"/>
  </si>
  <si>
    <t>总次数</t>
    <phoneticPr fontId="1" type="noConversion"/>
  </si>
  <si>
    <t>低级成功</t>
    <phoneticPr fontId="4" type="noConversion"/>
  </si>
  <si>
    <t>不变</t>
    <phoneticPr fontId="4" type="noConversion"/>
  </si>
  <si>
    <t>高级降级</t>
    <phoneticPr fontId="1" type="noConversion"/>
  </si>
  <si>
    <t>高级归零</t>
    <phoneticPr fontId="4" type="noConversion"/>
  </si>
  <si>
    <t>各级分布</t>
    <phoneticPr fontId="4" type="noConversion"/>
  </si>
  <si>
    <t>汇总</t>
    <phoneticPr fontId="4" type="noConversion"/>
  </si>
  <si>
    <t>期望计算公式</t>
    <phoneticPr fontId="2" type="noConversion"/>
  </si>
  <si>
    <t>p(n)=(1+p(d)*(p(n-1)+p(n-2)...))/p(s)</t>
    <phoneticPr fontId="2" type="noConversion"/>
  </si>
  <si>
    <t xml:space="preserve">   降级等级
强化等级</t>
    <phoneticPr fontId="2" type="noConversion"/>
  </si>
  <si>
    <t>更符合实际分布的期望</t>
    <phoneticPr fontId="1" type="noConversion"/>
  </si>
  <si>
    <t>超链接</t>
    <phoneticPr fontId="1" type="noConversion"/>
  </si>
  <si>
    <t>容斥原理</t>
    <phoneticPr fontId="1" type="noConversion"/>
  </si>
  <si>
    <t>兰彻斯特方程</t>
    <phoneticPr fontId="1" type="noConversion"/>
  </si>
  <si>
    <t>套装掉落</t>
    <phoneticPr fontId="1" type="noConversion"/>
  </si>
  <si>
    <t>排列组合</t>
    <phoneticPr fontId="1" type="noConversion"/>
  </si>
  <si>
    <t>概率计算</t>
    <phoneticPr fontId="1" type="noConversion"/>
  </si>
  <si>
    <t>正态分布</t>
    <phoneticPr fontId="1" type="noConversion"/>
  </si>
  <si>
    <t>区间随机算法</t>
    <phoneticPr fontId="1" type="noConversion"/>
  </si>
  <si>
    <t>http://gad.qq.com/article/detail/22636</t>
    <phoneticPr fontId="1" type="noConversion"/>
  </si>
  <si>
    <t>装备强化目标等级</t>
    <phoneticPr fontId="1" type="noConversion"/>
  </si>
  <si>
    <t>成功率</t>
    <phoneticPr fontId="1" type="noConversion"/>
  </si>
  <si>
    <t>失败增加成功率</t>
    <phoneticPr fontId="1" type="noConversion"/>
  </si>
  <si>
    <t>期望次数</t>
    <phoneticPr fontId="1" type="noConversion"/>
  </si>
  <si>
    <t>强化次数</t>
    <phoneticPr fontId="1" type="noConversion"/>
  </si>
  <si>
    <t>强化概率</t>
    <phoneticPr fontId="1" type="noConversion"/>
  </si>
  <si>
    <t>强化失败增加固定成功率的期望计算</t>
    <phoneticPr fontId="1" type="noConversion"/>
  </si>
  <si>
    <t>强化成功概率</t>
    <phoneticPr fontId="1" type="noConversion"/>
  </si>
  <si>
    <t xml:space="preserve"> </t>
    <phoneticPr fontId="1" type="noConversion"/>
  </si>
  <si>
    <t xml:space="preserve">E = </t>
    <phoneticPr fontId="1" type="noConversion"/>
  </si>
  <si>
    <t>E = n * (1 + 1/2 + 1/3 + … + n)</t>
    <phoneticPr fontId="1" type="noConversion"/>
  </si>
  <si>
    <t>E = i1 * p1 + i2 * p2 + … + in * pn</t>
    <phoneticPr fontId="1" type="noConversion"/>
  </si>
  <si>
    <t>概率</t>
    <phoneticPr fontId="1" type="noConversion"/>
  </si>
  <si>
    <t>E =</t>
    <phoneticPr fontId="1" type="noConversion"/>
  </si>
  <si>
    <t>示例2：抽奖时抽到A的概率0，抽奖次数为10时抽到A的概率为0.005，抽奖次数为100时抽到A的概率为0.2,求抽到A的期望次数</t>
    <phoneticPr fontId="1" type="noConversion"/>
  </si>
  <si>
    <t>星级</t>
  </si>
  <si>
    <t>白</t>
  </si>
  <si>
    <t>白</t>
    <phoneticPr fontId="1" type="noConversion"/>
  </si>
  <si>
    <t>绿</t>
  </si>
  <si>
    <t>绿</t>
    <phoneticPr fontId="1" type="noConversion"/>
  </si>
  <si>
    <t>蓝</t>
  </si>
  <si>
    <t>蓝</t>
    <phoneticPr fontId="1" type="noConversion"/>
  </si>
  <si>
    <t>紫</t>
  </si>
  <si>
    <t>紫</t>
    <phoneticPr fontId="1" type="noConversion"/>
  </si>
  <si>
    <t>金</t>
  </si>
  <si>
    <t>金</t>
    <phoneticPr fontId="1" type="noConversion"/>
  </si>
  <si>
    <t>示例3：已知悬赏栏有白，绿，蓝，紫，金5种品质的任务，以下为刷出对应品质的概率，求E(金)</t>
    <phoneticPr fontId="1" type="noConversion"/>
  </si>
  <si>
    <t>线路图</t>
    <phoneticPr fontId="1" type="noConversion"/>
  </si>
  <si>
    <t>节点3</t>
  </si>
  <si>
    <t>节点4</t>
  </si>
  <si>
    <t>节点5</t>
  </si>
  <si>
    <t>绿</t>
    <phoneticPr fontId="1" type="noConversion"/>
  </si>
  <si>
    <t>白</t>
    <phoneticPr fontId="1" type="noConversion"/>
  </si>
  <si>
    <t>蓝</t>
    <phoneticPr fontId="1" type="noConversion"/>
  </si>
  <si>
    <t>紫</t>
    <phoneticPr fontId="1" type="noConversion"/>
  </si>
  <si>
    <t>金</t>
    <phoneticPr fontId="1" type="noConversion"/>
  </si>
  <si>
    <t>白</t>
    <phoneticPr fontId="1" type="noConversion"/>
  </si>
  <si>
    <t>绿</t>
    <phoneticPr fontId="1" type="noConversion"/>
  </si>
  <si>
    <t>紫</t>
    <phoneticPr fontId="1" type="noConversion"/>
  </si>
  <si>
    <t>蓝</t>
    <phoneticPr fontId="1" type="noConversion"/>
  </si>
  <si>
    <t>金</t>
    <phoneticPr fontId="1" type="noConversion"/>
  </si>
  <si>
    <t>绿</t>
    <phoneticPr fontId="1" type="noConversion"/>
  </si>
  <si>
    <t>白</t>
    <phoneticPr fontId="1" type="noConversion"/>
  </si>
  <si>
    <t>金</t>
    <phoneticPr fontId="1" type="noConversion"/>
  </si>
  <si>
    <t>蓝</t>
    <phoneticPr fontId="1" type="noConversion"/>
  </si>
  <si>
    <t>紫</t>
    <phoneticPr fontId="1" type="noConversion"/>
  </si>
  <si>
    <t>E(金) =</t>
    <phoneticPr fontId="1" type="noConversion"/>
  </si>
  <si>
    <t xml:space="preserve">P(金) = </t>
    <phoneticPr fontId="1" type="noConversion"/>
  </si>
  <si>
    <t>示例1-1：BOSS掉落A、B、C三件装备，A、B、C的掉落几率都是1/3，但是BOSS每次只掉1件装备。为了凑齐A、B、C三件装备，期望需要打多少次？</t>
    <phoneticPr fontId="1" type="noConversion"/>
  </si>
  <si>
    <t>示例1-2：BOSS掉落A、B、C三件装备，A、B、C的掉落几率都是1/2,1/3,1/6，但是BOSS每次只掉1件装备。为了凑齐A、B、C三件装备，期望需要打多少次？</t>
    <phoneticPr fontId="1" type="noConversion"/>
  </si>
  <si>
    <t>E = 1/p(A) + 1/p(B) + 1/p(C) - 1/(p(A)+p(B)) - 1/(p(A)+p(C)) - 1/(p(B)+p(C)) + 1/(p(A) + p(B) + p(C))</t>
    <phoneticPr fontId="1" type="noConversion"/>
  </si>
  <si>
    <t xml:space="preserve">E = </t>
    <phoneticPr fontId="1" type="noConversion"/>
  </si>
  <si>
    <t>节点1</t>
    <phoneticPr fontId="1" type="noConversion"/>
  </si>
  <si>
    <t>节点2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</si>
</sst>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_ "/>
    <numFmt numFmtId="177" formatCode="0_ "/>
    <numFmt numFmtId="178" formatCode="0.000%"/>
    <numFmt numFmtId="179" formatCode="0.00000%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0"/>
      <name val="微软雅黑"/>
      <family val="2"/>
      <charset val="134"/>
    </font>
    <font>
      <sz val="9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u/>
      <sz val="11"/>
      <color theme="1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 applyProtection="1">
      <alignment horizontal="left" vertical="center"/>
      <protection locked="0"/>
    </xf>
    <xf numFmtId="0" fontId="0" fillId="0" borderId="0" xfId="0" applyNumberFormat="1" applyAlignment="1" applyProtection="1">
      <alignment horizontal="left"/>
      <protection locked="0"/>
    </xf>
    <xf numFmtId="0" fontId="0" fillId="0" borderId="0" xfId="0" applyNumberFormat="1" applyAlignment="1" applyProtection="1">
      <alignment horizontal="left"/>
    </xf>
    <xf numFmtId="0" fontId="3" fillId="2" borderId="1" xfId="0" applyNumberFormat="1" applyFont="1" applyFill="1" applyBorder="1" applyAlignment="1" applyProtection="1">
      <alignment horizontal="left" vertical="center"/>
      <protection locked="0"/>
    </xf>
    <xf numFmtId="0" fontId="3" fillId="2" borderId="2" xfId="0" applyNumberFormat="1" applyFont="1" applyFill="1" applyBorder="1" applyAlignment="1" applyProtection="1">
      <alignment horizontal="left" vertical="center"/>
      <protection locked="0"/>
    </xf>
    <xf numFmtId="0" fontId="3" fillId="2" borderId="3" xfId="0" applyNumberFormat="1" applyFont="1" applyFill="1" applyBorder="1" applyAlignment="1" applyProtection="1">
      <alignment horizontal="left" vertical="center"/>
      <protection locked="0"/>
    </xf>
    <xf numFmtId="176" fontId="0" fillId="0" borderId="4" xfId="0" applyNumberFormat="1" applyBorder="1" applyAlignment="1" applyProtection="1">
      <alignment horizontal="left" vertical="center"/>
    </xf>
    <xf numFmtId="10" fontId="0" fillId="3" borderId="5" xfId="0" applyNumberFormat="1" applyFont="1" applyFill="1" applyBorder="1" applyAlignment="1" applyProtection="1">
      <alignment horizontal="left" vertical="center"/>
      <protection locked="0"/>
    </xf>
    <xf numFmtId="10" fontId="5" fillId="3" borderId="6" xfId="0" applyNumberFormat="1" applyFont="1" applyFill="1" applyBorder="1" applyAlignment="1" applyProtection="1">
      <alignment horizontal="left" vertical="center"/>
      <protection locked="0"/>
    </xf>
    <xf numFmtId="10" fontId="5" fillId="3" borderId="7" xfId="0" applyNumberFormat="1" applyFont="1" applyFill="1" applyBorder="1" applyAlignment="1" applyProtection="1">
      <alignment horizontal="left" vertical="center"/>
      <protection locked="0"/>
    </xf>
    <xf numFmtId="176" fontId="0" fillId="0" borderId="0" xfId="0" applyNumberFormat="1" applyAlignment="1" applyProtection="1">
      <alignment horizontal="left"/>
    </xf>
    <xf numFmtId="10" fontId="0" fillId="4" borderId="5" xfId="0" applyNumberFormat="1" applyFont="1" applyFill="1" applyBorder="1" applyAlignment="1" applyProtection="1">
      <alignment horizontal="left" vertical="center"/>
      <protection locked="0"/>
    </xf>
    <xf numFmtId="0" fontId="3" fillId="2" borderId="0" xfId="0" applyNumberFormat="1" applyFont="1" applyFill="1" applyAlignment="1" applyProtection="1">
      <alignment horizontal="left" vertical="center"/>
      <protection locked="0"/>
    </xf>
    <xf numFmtId="0" fontId="3" fillId="2" borderId="0" xfId="0" applyNumberFormat="1" applyFont="1" applyFill="1" applyBorder="1" applyAlignment="1" applyProtection="1">
      <alignment horizontal="left" vertical="center"/>
      <protection locked="0"/>
    </xf>
    <xf numFmtId="0" fontId="6" fillId="0" borderId="8" xfId="0" applyFont="1" applyBorder="1" applyAlignment="1" applyProtection="1">
      <alignment horizontal="left" vertical="center"/>
      <protection locked="0"/>
    </xf>
    <xf numFmtId="177" fontId="0" fillId="0" borderId="4" xfId="0" applyNumberFormat="1" applyBorder="1" applyAlignment="1" applyProtection="1">
      <alignment horizontal="left" vertical="center"/>
    </xf>
    <xf numFmtId="176" fontId="7" fillId="0" borderId="9" xfId="0" applyNumberFormat="1" applyFont="1" applyBorder="1" applyAlignment="1" applyProtection="1">
      <alignment horizontal="left" vertical="center" wrapText="1"/>
    </xf>
    <xf numFmtId="0" fontId="8" fillId="0" borderId="0" xfId="1" applyAlignment="1">
      <alignment horizontal="left"/>
    </xf>
    <xf numFmtId="10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179" fontId="0" fillId="0" borderId="0" xfId="0" applyNumberFormat="1" applyAlignment="1">
      <alignment horizontal="left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114300</xdr:colOff>
      <xdr:row>27</xdr:row>
      <xdr:rowOff>30480</xdr:rowOff>
    </xdr:from>
    <xdr:to>
      <xdr:col>20</xdr:col>
      <xdr:colOff>38100</xdr:colOff>
      <xdr:row>44</xdr:row>
      <xdr:rowOff>169139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6060" y="5173980"/>
          <a:ext cx="7330440" cy="3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workbookViewId="0">
      <selection sqref="A1:XFD11"/>
    </sheetView>
  </sheetViews>
  <sheetFormatPr defaultColWidth="9" defaultRowHeight="13.5" x14ac:dyDescent="0.15"/>
  <cols>
    <col min="1" max="1" width="9" style="1"/>
    <col min="2" max="2" width="21.625" style="1" customWidth="1"/>
    <col min="3" max="3" width="16.125" style="1" customWidth="1"/>
    <col min="4" max="4" width="12.625" style="1" customWidth="1"/>
    <col min="5" max="16384" width="9" style="1"/>
  </cols>
  <sheetData>
    <row r="1" spans="1:4" x14ac:dyDescent="0.1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15">
      <c r="A2" s="1">
        <v>1</v>
      </c>
      <c r="B2" s="1" t="s">
        <v>4</v>
      </c>
      <c r="C2" s="1" t="s">
        <v>5</v>
      </c>
      <c r="D2" s="19" t="s">
        <v>32</v>
      </c>
    </row>
    <row r="3" spans="1:4" x14ac:dyDescent="0.15">
      <c r="A3" s="1">
        <v>2</v>
      </c>
      <c r="B3" s="1" t="s">
        <v>33</v>
      </c>
      <c r="C3" s="1" t="s">
        <v>35</v>
      </c>
      <c r="D3" s="19" t="s">
        <v>32</v>
      </c>
    </row>
    <row r="4" spans="1:4" x14ac:dyDescent="0.15">
      <c r="A4" s="1">
        <v>3</v>
      </c>
      <c r="B4" s="1" t="s">
        <v>34</v>
      </c>
      <c r="D4" s="19" t="s">
        <v>32</v>
      </c>
    </row>
    <row r="5" spans="1:4" x14ac:dyDescent="0.15">
      <c r="A5" s="1">
        <v>4</v>
      </c>
      <c r="B5" s="1" t="s">
        <v>36</v>
      </c>
      <c r="C5" s="1" t="s">
        <v>37</v>
      </c>
      <c r="D5" s="19" t="s">
        <v>32</v>
      </c>
    </row>
    <row r="6" spans="1:4" x14ac:dyDescent="0.15">
      <c r="A6" s="1">
        <v>5</v>
      </c>
      <c r="B6" s="1" t="s">
        <v>38</v>
      </c>
      <c r="C6" s="1" t="s">
        <v>39</v>
      </c>
      <c r="D6" s="19" t="s">
        <v>32</v>
      </c>
    </row>
    <row r="7" spans="1:4" x14ac:dyDescent="0.15">
      <c r="A7" s="1">
        <v>6</v>
      </c>
    </row>
    <row r="8" spans="1:4" x14ac:dyDescent="0.15">
      <c r="A8" s="1">
        <v>7</v>
      </c>
    </row>
    <row r="9" spans="1:4" x14ac:dyDescent="0.15">
      <c r="A9" s="1">
        <v>8</v>
      </c>
    </row>
    <row r="10" spans="1:4" x14ac:dyDescent="0.15">
      <c r="A10" s="1">
        <v>9</v>
      </c>
    </row>
    <row r="11" spans="1:4" x14ac:dyDescent="0.15">
      <c r="A11" s="1">
        <v>10</v>
      </c>
    </row>
    <row r="12" spans="1:4" x14ac:dyDescent="0.15">
      <c r="A12" s="1">
        <v>11</v>
      </c>
    </row>
  </sheetData>
  <phoneticPr fontId="1" type="noConversion"/>
  <hyperlinks>
    <hyperlink ref="D2" location="装备强化!A1" display="超链接"/>
    <hyperlink ref="D3" location="装备强化!A1" display="超链接"/>
    <hyperlink ref="D4" location="装备强化!A1" display="超链接"/>
    <hyperlink ref="D5" location="排列组合!A1" display="超链接"/>
    <hyperlink ref="D6" location="排列组合!A1" display="超链接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8"/>
  <sheetViews>
    <sheetView topLeftCell="A16" workbookViewId="0">
      <selection activeCell="F29" sqref="F29:G55"/>
    </sheetView>
  </sheetViews>
  <sheetFormatPr defaultColWidth="9" defaultRowHeight="13.5" x14ac:dyDescent="0.15"/>
  <cols>
    <col min="1" max="1" width="17.625" style="1" customWidth="1"/>
    <col min="2" max="2" width="9" style="1"/>
    <col min="3" max="3" width="16.125" style="1" bestFit="1" customWidth="1"/>
    <col min="4" max="6" width="9" style="1"/>
    <col min="7" max="7" width="11.625" style="1" bestFit="1" customWidth="1"/>
    <col min="8" max="8" width="12.75" style="1" bestFit="1" customWidth="1"/>
    <col min="9" max="16384" width="9" style="1"/>
  </cols>
  <sheetData>
    <row r="1" spans="1:17" ht="12.75" customHeight="1" x14ac:dyDescent="0.15">
      <c r="A1" s="2" t="s">
        <v>6</v>
      </c>
      <c r="B1" s="2" t="s">
        <v>7</v>
      </c>
      <c r="C1" s="2" t="s">
        <v>8</v>
      </c>
      <c r="D1" s="2" t="s">
        <v>9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12.75" customHeight="1" x14ac:dyDescent="0.15">
      <c r="A2" s="2" t="s">
        <v>10</v>
      </c>
      <c r="B2" s="2" t="s">
        <v>11</v>
      </c>
      <c r="C2" s="2" t="s">
        <v>12</v>
      </c>
      <c r="D2" s="2" t="s">
        <v>13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ht="12.75" customHeight="1" x14ac:dyDescent="0.15">
      <c r="A3" s="2" t="s">
        <v>28</v>
      </c>
      <c r="B3" s="2" t="s">
        <v>29</v>
      </c>
      <c r="C3" s="2"/>
      <c r="D3" s="2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ht="12.75" customHeight="1" x14ac:dyDescent="0.15">
      <c r="A4" s="3"/>
      <c r="B4" s="3"/>
      <c r="C4" s="3"/>
      <c r="D4" s="3"/>
      <c r="E4" s="3"/>
      <c r="F4" s="3"/>
      <c r="G4" s="3"/>
      <c r="H4" s="3"/>
      <c r="I4" s="3"/>
      <c r="J4" s="4"/>
      <c r="K4" s="3"/>
      <c r="L4" s="3"/>
      <c r="M4" s="3"/>
      <c r="N4" s="3"/>
      <c r="O4" s="3"/>
      <c r="P4" s="3"/>
      <c r="Q4" s="3"/>
    </row>
    <row r="5" spans="1:17" ht="22.5" x14ac:dyDescent="0.15">
      <c r="A5" s="5" t="s">
        <v>14</v>
      </c>
      <c r="B5" s="5" t="s">
        <v>15</v>
      </c>
      <c r="C5" s="5" t="s">
        <v>16</v>
      </c>
      <c r="D5" s="5" t="s">
        <v>17</v>
      </c>
      <c r="E5" s="6" t="s">
        <v>18</v>
      </c>
      <c r="F5" s="7" t="s">
        <v>19</v>
      </c>
      <c r="G5" s="5" t="s">
        <v>20</v>
      </c>
      <c r="H5" s="5" t="s">
        <v>21</v>
      </c>
      <c r="I5" s="3"/>
      <c r="J5" s="18" t="s">
        <v>30</v>
      </c>
      <c r="K5" s="17">
        <v>0</v>
      </c>
      <c r="L5" s="17">
        <v>1</v>
      </c>
      <c r="M5" s="17">
        <v>2</v>
      </c>
      <c r="N5" s="17">
        <v>3</v>
      </c>
      <c r="O5" s="17">
        <v>4</v>
      </c>
      <c r="P5" s="17">
        <v>5</v>
      </c>
      <c r="Q5" s="17">
        <v>6</v>
      </c>
    </row>
    <row r="6" spans="1:17" ht="14.25" x14ac:dyDescent="0.15">
      <c r="A6" s="3">
        <v>1</v>
      </c>
      <c r="B6" s="9">
        <v>0.99</v>
      </c>
      <c r="C6" s="9">
        <v>0.01</v>
      </c>
      <c r="D6" s="10">
        <v>0</v>
      </c>
      <c r="E6" s="10">
        <v>0</v>
      </c>
      <c r="F6" s="11">
        <v>0</v>
      </c>
      <c r="G6" s="12">
        <f>(1+D6*0+E6*0+F6*0)/B6</f>
        <v>1.0101010101010102</v>
      </c>
      <c r="H6" s="12">
        <f>G6</f>
        <v>1.0101010101010102</v>
      </c>
      <c r="I6" s="3"/>
      <c r="J6" s="17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</row>
    <row r="7" spans="1:17" x14ac:dyDescent="0.15">
      <c r="A7" s="3">
        <v>2</v>
      </c>
      <c r="B7" s="9">
        <v>0.85</v>
      </c>
      <c r="C7" s="9">
        <v>0.15</v>
      </c>
      <c r="D7" s="9">
        <v>0</v>
      </c>
      <c r="E7" s="9">
        <v>0</v>
      </c>
      <c r="F7" s="9">
        <v>0</v>
      </c>
      <c r="G7" s="12">
        <f t="shared" ref="G7:G12" si="0">(1+D7*VLOOKUP($J7,$J$5:$Q$12,MATCH(1,$J$5:$Q$5,0),FALSE)+E7*VLOOKUP($J7,$J$5:$Q$12,MATCH($J7,$J$5:$Q$5,0),FALSE)+F7*VLOOKUP(J7,$J$5:$Q$12,MATCH(J7,$J$5:$Q$5,0),FALSE))/B7</f>
        <v>1.1764705882352942</v>
      </c>
      <c r="H7" s="12">
        <f>G7+H6</f>
        <v>2.1865715983363043</v>
      </c>
      <c r="I7" s="3"/>
      <c r="J7" s="17">
        <v>1</v>
      </c>
      <c r="K7" s="8">
        <v>0</v>
      </c>
      <c r="L7" s="8">
        <f t="shared" ref="L7:L12" si="1">G6</f>
        <v>1.0101010101010102</v>
      </c>
      <c r="M7" s="8">
        <v>0</v>
      </c>
      <c r="N7" s="8">
        <v>0</v>
      </c>
      <c r="O7" s="8">
        <v>0</v>
      </c>
      <c r="P7" s="8">
        <v>0</v>
      </c>
      <c r="Q7" s="8">
        <v>0</v>
      </c>
    </row>
    <row r="8" spans="1:17" x14ac:dyDescent="0.15">
      <c r="A8" s="3">
        <v>3</v>
      </c>
      <c r="B8" s="9">
        <v>0.73</v>
      </c>
      <c r="C8" s="9">
        <v>0.27</v>
      </c>
      <c r="D8" s="9">
        <v>0</v>
      </c>
      <c r="E8" s="9">
        <v>0</v>
      </c>
      <c r="F8" s="9">
        <v>0</v>
      </c>
      <c r="G8" s="12">
        <f t="shared" si="0"/>
        <v>1.3698630136986301</v>
      </c>
      <c r="H8" s="12">
        <f t="shared" ref="H8:H12" si="2">G8+H7</f>
        <v>3.5564346120349342</v>
      </c>
      <c r="I8" s="3"/>
      <c r="J8" s="17">
        <v>2</v>
      </c>
      <c r="K8" s="8">
        <v>0</v>
      </c>
      <c r="L8" s="8">
        <f t="shared" si="1"/>
        <v>1.1764705882352942</v>
      </c>
      <c r="M8" s="8">
        <f>SUM(G6:G7)</f>
        <v>2.1865715983363043</v>
      </c>
      <c r="N8" s="8">
        <v>0</v>
      </c>
      <c r="O8" s="8">
        <v>0</v>
      </c>
      <c r="P8" s="8">
        <v>0</v>
      </c>
      <c r="Q8" s="8">
        <v>0</v>
      </c>
    </row>
    <row r="9" spans="1:17" x14ac:dyDescent="0.15">
      <c r="A9" s="3">
        <v>4</v>
      </c>
      <c r="B9" s="9">
        <v>0.55000000000000004</v>
      </c>
      <c r="C9" s="9">
        <v>0.38</v>
      </c>
      <c r="D9" s="9">
        <v>7.0000000000000007E-2</v>
      </c>
      <c r="E9" s="9">
        <v>0</v>
      </c>
      <c r="F9" s="9">
        <v>0</v>
      </c>
      <c r="G9" s="12">
        <f t="shared" si="0"/>
        <v>1.9925280199252799</v>
      </c>
      <c r="H9" s="12">
        <f t="shared" si="2"/>
        <v>5.5489626319602143</v>
      </c>
      <c r="I9" s="3"/>
      <c r="J9" s="17">
        <v>3</v>
      </c>
      <c r="K9" s="8">
        <v>0</v>
      </c>
      <c r="L9" s="8">
        <f t="shared" si="1"/>
        <v>1.3698630136986301</v>
      </c>
      <c r="M9" s="8">
        <f>SUM(G7:G8)</f>
        <v>2.5463336019339242</v>
      </c>
      <c r="N9" s="8">
        <f>SUM(G6:G8)</f>
        <v>3.5564346120349342</v>
      </c>
      <c r="O9" s="8">
        <v>0</v>
      </c>
      <c r="P9" s="8">
        <v>0</v>
      </c>
      <c r="Q9" s="8">
        <v>0</v>
      </c>
    </row>
    <row r="10" spans="1:17" x14ac:dyDescent="0.15">
      <c r="A10" s="3">
        <v>5</v>
      </c>
      <c r="B10" s="9">
        <v>0.4</v>
      </c>
      <c r="C10" s="9">
        <v>0.46</v>
      </c>
      <c r="D10" s="9">
        <v>0.12</v>
      </c>
      <c r="E10" s="13">
        <v>0.01</v>
      </c>
      <c r="F10" s="13">
        <v>0.01</v>
      </c>
      <c r="G10" s="12">
        <f t="shared" si="0"/>
        <v>3.3752065375755946</v>
      </c>
      <c r="H10" s="12">
        <f t="shared" si="2"/>
        <v>8.9241691695358085</v>
      </c>
      <c r="I10" s="3"/>
      <c r="J10" s="17">
        <v>4</v>
      </c>
      <c r="K10" s="8">
        <v>0</v>
      </c>
      <c r="L10" s="8">
        <f t="shared" si="1"/>
        <v>1.9925280199252799</v>
      </c>
      <c r="M10" s="8">
        <f>SUM(G8:G9)</f>
        <v>3.36239103362391</v>
      </c>
      <c r="N10" s="8">
        <f>SUM(G7:G9)</f>
        <v>4.5388616218592039</v>
      </c>
      <c r="O10" s="8">
        <f>SUM(G6:G9)</f>
        <v>5.5489626319602143</v>
      </c>
      <c r="P10" s="8">
        <v>0</v>
      </c>
      <c r="Q10" s="8">
        <v>0</v>
      </c>
    </row>
    <row r="11" spans="1:17" x14ac:dyDescent="0.15">
      <c r="A11" s="3">
        <v>6</v>
      </c>
      <c r="B11" s="9">
        <v>0.3</v>
      </c>
      <c r="C11" s="9">
        <v>0.52</v>
      </c>
      <c r="D11" s="9">
        <v>0.16</v>
      </c>
      <c r="E11" s="9">
        <v>0.01</v>
      </c>
      <c r="F11" s="9">
        <v>0.01</v>
      </c>
      <c r="G11" s="12">
        <f t="shared" si="0"/>
        <v>5.7283880980093711</v>
      </c>
      <c r="H11" s="12">
        <f t="shared" si="2"/>
        <v>14.652557267545181</v>
      </c>
      <c r="I11" s="3"/>
      <c r="J11" s="17">
        <v>5</v>
      </c>
      <c r="K11" s="8">
        <v>0</v>
      </c>
      <c r="L11" s="8">
        <f t="shared" si="1"/>
        <v>3.3752065375755946</v>
      </c>
      <c r="M11" s="8">
        <f>SUM(G9:G10)</f>
        <v>5.3677345575008744</v>
      </c>
      <c r="N11" s="8">
        <f>SUM(G8:G10)</f>
        <v>6.7375975711995046</v>
      </c>
      <c r="O11" s="8">
        <f>SUM(G7:G10)</f>
        <v>7.9140681594347981</v>
      </c>
      <c r="P11" s="8">
        <f>SUM(G6:G10)</f>
        <v>8.9241691695358085</v>
      </c>
      <c r="Q11" s="8">
        <v>0</v>
      </c>
    </row>
    <row r="12" spans="1:17" x14ac:dyDescent="0.15">
      <c r="A12" s="3">
        <v>7</v>
      </c>
      <c r="B12" s="9">
        <v>0.15</v>
      </c>
      <c r="C12" s="9">
        <v>0.64</v>
      </c>
      <c r="D12" s="9">
        <v>0.19</v>
      </c>
      <c r="E12" s="9">
        <v>0.01</v>
      </c>
      <c r="F12" s="9">
        <v>0.01</v>
      </c>
      <c r="G12" s="12">
        <f t="shared" si="0"/>
        <v>15.876299226484564</v>
      </c>
      <c r="H12" s="12">
        <f t="shared" si="2"/>
        <v>30.528856494029746</v>
      </c>
      <c r="I12" s="3"/>
      <c r="J12" s="17">
        <v>6</v>
      </c>
      <c r="K12" s="8">
        <v>0</v>
      </c>
      <c r="L12" s="8">
        <f t="shared" si="1"/>
        <v>5.7283880980093711</v>
      </c>
      <c r="M12" s="8">
        <f>SUM(G10:G11)</f>
        <v>9.1035946355849653</v>
      </c>
      <c r="N12" s="8">
        <f>SUM(G9:G11)</f>
        <v>11.096122655510246</v>
      </c>
      <c r="O12" s="8">
        <f>SUM(G8:G11)</f>
        <v>12.465985669208877</v>
      </c>
      <c r="P12" s="8">
        <f>SUM(G7:G11)</f>
        <v>13.64245625744417</v>
      </c>
      <c r="Q12" s="8">
        <f>SUM(G6:G11)</f>
        <v>14.652557267545181</v>
      </c>
    </row>
    <row r="13" spans="1:17" x14ac:dyDescent="0.1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</row>
    <row r="14" spans="1:17" x14ac:dyDescent="0.1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</row>
    <row r="15" spans="1:17" x14ac:dyDescent="0.15">
      <c r="A15" s="3" t="s">
        <v>31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</row>
    <row r="16" spans="1:17" ht="14.25" x14ac:dyDescent="0.15">
      <c r="A16" s="5" t="s">
        <v>14</v>
      </c>
      <c r="B16" s="5" t="s">
        <v>15</v>
      </c>
      <c r="C16" s="5" t="s">
        <v>16</v>
      </c>
      <c r="D16" s="5" t="s">
        <v>17</v>
      </c>
      <c r="E16" s="6" t="s">
        <v>18</v>
      </c>
      <c r="F16" s="7" t="s">
        <v>19</v>
      </c>
      <c r="G16" s="14" t="s">
        <v>22</v>
      </c>
      <c r="H16" s="14" t="s">
        <v>23</v>
      </c>
      <c r="I16" s="15" t="s">
        <v>24</v>
      </c>
      <c r="J16" s="14" t="s">
        <v>25</v>
      </c>
      <c r="K16" s="14" t="s">
        <v>26</v>
      </c>
      <c r="L16" s="14" t="s">
        <v>27</v>
      </c>
      <c r="M16" s="3"/>
      <c r="N16" s="3"/>
      <c r="O16" s="3"/>
      <c r="P16" s="3"/>
      <c r="Q16" s="3"/>
    </row>
    <row r="17" spans="1:17" ht="14.25" x14ac:dyDescent="0.15">
      <c r="A17" s="3">
        <v>1</v>
      </c>
      <c r="B17" s="9">
        <v>0.99</v>
      </c>
      <c r="C17" s="9">
        <v>0.01</v>
      </c>
      <c r="D17" s="10">
        <v>0</v>
      </c>
      <c r="E17" s="10">
        <v>0</v>
      </c>
      <c r="F17" s="11">
        <v>0</v>
      </c>
      <c r="G17" s="12">
        <f t="shared" ref="G17:G23" si="3">K17-H17-I17-J17</f>
        <v>1.0000000000000004</v>
      </c>
      <c r="H17" s="12">
        <f t="shared" ref="H17:H21" si="4">K17*C17</f>
        <v>1.436363636363637E-2</v>
      </c>
      <c r="I17" s="12">
        <f>K18*D18</f>
        <v>0</v>
      </c>
      <c r="J17" s="12">
        <f>SUMPRODUCT(E18:E23*K18:K23)+SUMPRODUCT(F18:F23*K18:K23)</f>
        <v>0.42200000000000004</v>
      </c>
      <c r="K17" s="12">
        <f t="shared" ref="K17:K22" si="5">G18/B17</f>
        <v>1.436363636363637</v>
      </c>
      <c r="L17" s="12">
        <f>K17</f>
        <v>1.436363636363637</v>
      </c>
      <c r="M17" s="3"/>
      <c r="N17" s="3"/>
      <c r="O17" s="3"/>
      <c r="P17" s="3"/>
      <c r="Q17" s="3"/>
    </row>
    <row r="18" spans="1:17" x14ac:dyDescent="0.15">
      <c r="A18" s="3">
        <v>2</v>
      </c>
      <c r="B18" s="9">
        <v>0.85</v>
      </c>
      <c r="C18" s="9">
        <v>0.15</v>
      </c>
      <c r="D18" s="9">
        <v>0</v>
      </c>
      <c r="E18" s="9">
        <v>0</v>
      </c>
      <c r="F18" s="9">
        <v>0</v>
      </c>
      <c r="G18" s="12">
        <f t="shared" si="3"/>
        <v>1.4220000000000006</v>
      </c>
      <c r="H18" s="12">
        <f t="shared" si="4"/>
        <v>0.25094117647058833</v>
      </c>
      <c r="I18" s="12">
        <f t="shared" ref="I18:I21" si="6">K19*D19</f>
        <v>0</v>
      </c>
      <c r="J18" s="12"/>
      <c r="K18" s="12">
        <f t="shared" si="5"/>
        <v>1.672941176470589</v>
      </c>
      <c r="L18" s="12">
        <f>K18+L17</f>
        <v>3.109304812834226</v>
      </c>
      <c r="M18" s="3"/>
      <c r="N18" s="3"/>
      <c r="O18" s="3"/>
      <c r="P18" s="3"/>
      <c r="Q18" s="3"/>
    </row>
    <row r="19" spans="1:17" x14ac:dyDescent="0.15">
      <c r="A19" s="3">
        <v>3</v>
      </c>
      <c r="B19" s="9">
        <v>0.73</v>
      </c>
      <c r="C19" s="9">
        <v>0.27</v>
      </c>
      <c r="D19" s="9">
        <v>0</v>
      </c>
      <c r="E19" s="9">
        <v>0</v>
      </c>
      <c r="F19" s="9">
        <v>0</v>
      </c>
      <c r="G19" s="12">
        <f t="shared" si="3"/>
        <v>1.4220000000000006</v>
      </c>
      <c r="H19" s="12">
        <f t="shared" si="4"/>
        <v>0.62922440846824435</v>
      </c>
      <c r="I19" s="12">
        <f t="shared" si="6"/>
        <v>0.27923636363636373</v>
      </c>
      <c r="J19" s="12"/>
      <c r="K19" s="12">
        <f t="shared" si="5"/>
        <v>2.3304607721046087</v>
      </c>
      <c r="L19" s="12">
        <f t="shared" ref="L19:L23" si="7">K19+L18</f>
        <v>5.4397655849388347</v>
      </c>
      <c r="M19" s="3"/>
      <c r="N19" s="3"/>
      <c r="O19" s="3"/>
      <c r="P19" s="3"/>
      <c r="Q19" s="3"/>
    </row>
    <row r="20" spans="1:17" x14ac:dyDescent="0.15">
      <c r="A20" s="3">
        <v>4</v>
      </c>
      <c r="B20" s="9">
        <v>0.55000000000000004</v>
      </c>
      <c r="C20" s="9">
        <v>0.38</v>
      </c>
      <c r="D20" s="9">
        <v>7.0000000000000007E-2</v>
      </c>
      <c r="E20" s="9">
        <v>0</v>
      </c>
      <c r="F20" s="9">
        <v>0</v>
      </c>
      <c r="G20" s="12">
        <f t="shared" si="3"/>
        <v>1.7012363636363643</v>
      </c>
      <c r="H20" s="12">
        <f t="shared" si="4"/>
        <v>1.5158545454545458</v>
      </c>
      <c r="I20" s="12">
        <f t="shared" si="6"/>
        <v>0.77200000000000024</v>
      </c>
      <c r="J20" s="12"/>
      <c r="K20" s="12">
        <f t="shared" si="5"/>
        <v>3.9890909090909101</v>
      </c>
      <c r="L20" s="12">
        <f t="shared" si="7"/>
        <v>9.4288564940297448</v>
      </c>
      <c r="M20" s="3"/>
      <c r="N20" s="3"/>
      <c r="O20" s="3"/>
      <c r="P20" s="3"/>
      <c r="Q20" s="3"/>
    </row>
    <row r="21" spans="1:17" x14ac:dyDescent="0.15">
      <c r="A21" s="3">
        <v>5</v>
      </c>
      <c r="B21" s="9">
        <v>0.4</v>
      </c>
      <c r="C21" s="9">
        <v>0.46</v>
      </c>
      <c r="D21" s="9">
        <v>0.12</v>
      </c>
      <c r="E21" s="9">
        <v>0.01</v>
      </c>
      <c r="F21" s="9">
        <v>0.01</v>
      </c>
      <c r="G21" s="12">
        <f t="shared" si="3"/>
        <v>2.1940000000000008</v>
      </c>
      <c r="H21" s="12">
        <f t="shared" si="4"/>
        <v>2.9593333333333343</v>
      </c>
      <c r="I21" s="12">
        <f t="shared" si="6"/>
        <v>1.2800000000000002</v>
      </c>
      <c r="J21" s="12"/>
      <c r="K21" s="12">
        <f t="shared" si="5"/>
        <v>6.4333333333333353</v>
      </c>
      <c r="L21" s="12">
        <f t="shared" si="7"/>
        <v>15.86218982736308</v>
      </c>
      <c r="M21" s="3"/>
      <c r="N21" s="3"/>
      <c r="O21" s="3"/>
      <c r="P21" s="3"/>
      <c r="Q21" s="16"/>
    </row>
    <row r="22" spans="1:17" x14ac:dyDescent="0.15">
      <c r="A22" s="3">
        <v>6</v>
      </c>
      <c r="B22" s="9">
        <v>0.3</v>
      </c>
      <c r="C22" s="9">
        <v>0.52</v>
      </c>
      <c r="D22" s="9">
        <v>0.16</v>
      </c>
      <c r="E22" s="9">
        <v>0.01</v>
      </c>
      <c r="F22" s="9">
        <v>0.01</v>
      </c>
      <c r="G22" s="12">
        <f t="shared" si="3"/>
        <v>2.5733333333333341</v>
      </c>
      <c r="H22" s="12">
        <f>K22*C22</f>
        <v>4.160000000000001</v>
      </c>
      <c r="I22" s="12">
        <f>K23*D23</f>
        <v>1.2666666666666668</v>
      </c>
      <c r="J22" s="12"/>
      <c r="K22" s="12">
        <f t="shared" si="5"/>
        <v>8.0000000000000018</v>
      </c>
      <c r="L22" s="12">
        <f t="shared" si="7"/>
        <v>23.862189827363082</v>
      </c>
      <c r="M22" s="3"/>
      <c r="N22" s="3"/>
      <c r="O22" s="3"/>
      <c r="P22" s="3"/>
      <c r="Q22" s="16"/>
    </row>
    <row r="23" spans="1:17" x14ac:dyDescent="0.15">
      <c r="A23" s="3">
        <v>7</v>
      </c>
      <c r="B23" s="9">
        <v>0.15</v>
      </c>
      <c r="C23" s="9">
        <v>0.64</v>
      </c>
      <c r="D23" s="9">
        <v>0.19</v>
      </c>
      <c r="E23" s="9">
        <v>0.01</v>
      </c>
      <c r="F23" s="9">
        <v>0.01</v>
      </c>
      <c r="G23" s="12">
        <f t="shared" si="3"/>
        <v>2.4000000000000004</v>
      </c>
      <c r="H23" s="12">
        <f>K23*C23</f>
        <v>4.2666666666666666</v>
      </c>
      <c r="I23" s="12"/>
      <c r="J23" s="12"/>
      <c r="K23" s="12">
        <f>1/B23</f>
        <v>6.666666666666667</v>
      </c>
      <c r="L23" s="12">
        <f t="shared" si="7"/>
        <v>30.52885649402975</v>
      </c>
      <c r="M23" s="3"/>
      <c r="N23" s="3"/>
      <c r="O23" s="3"/>
      <c r="P23" s="3"/>
      <c r="Q23" s="16"/>
    </row>
    <row r="25" spans="1:17" x14ac:dyDescent="0.15">
      <c r="A25" t="s">
        <v>40</v>
      </c>
    </row>
    <row r="27" spans="1:17" x14ac:dyDescent="0.15">
      <c r="A27" s="1" t="s">
        <v>47</v>
      </c>
    </row>
    <row r="28" spans="1:17" x14ac:dyDescent="0.15">
      <c r="A28" s="1" t="s">
        <v>41</v>
      </c>
      <c r="B28" s="1" t="s">
        <v>42</v>
      </c>
      <c r="C28" s="1" t="s">
        <v>43</v>
      </c>
      <c r="D28" s="1" t="s">
        <v>44</v>
      </c>
      <c r="F28" s="1" t="s">
        <v>45</v>
      </c>
      <c r="G28" s="1" t="s">
        <v>46</v>
      </c>
      <c r="H28" s="1" t="s">
        <v>48</v>
      </c>
    </row>
    <row r="29" spans="1:17" x14ac:dyDescent="0.15">
      <c r="A29" s="1">
        <v>1</v>
      </c>
      <c r="B29" s="20">
        <v>1</v>
      </c>
      <c r="C29" s="21">
        <v>4.0189999999999997E-2</v>
      </c>
      <c r="F29" s="1">
        <v>1</v>
      </c>
      <c r="G29" s="20">
        <f>B40</f>
        <v>0.01</v>
      </c>
      <c r="H29" s="1">
        <f>1*G29</f>
        <v>0.01</v>
      </c>
    </row>
    <row r="30" spans="1:17" x14ac:dyDescent="0.15">
      <c r="A30" s="1">
        <v>2</v>
      </c>
      <c r="B30" s="20">
        <v>0.94740000000000002</v>
      </c>
      <c r="C30" s="21">
        <v>4.0189999999999997E-2</v>
      </c>
      <c r="F30" s="1">
        <v>2</v>
      </c>
      <c r="G30" s="22">
        <f>G29+$C$40</f>
        <v>5.0189999999999999E-2</v>
      </c>
      <c r="H30" s="1">
        <f>1*(1-G29)*G30</f>
        <v>4.9688099999999999E-2</v>
      </c>
    </row>
    <row r="31" spans="1:17" x14ac:dyDescent="0.15">
      <c r="A31" s="1">
        <v>3</v>
      </c>
      <c r="B31" s="20">
        <v>0.88890000000000002</v>
      </c>
      <c r="C31" s="21">
        <v>4.0189999999999997E-2</v>
      </c>
      <c r="F31" s="1">
        <v>3</v>
      </c>
      <c r="G31" s="22">
        <f t="shared" ref="G31:G53" si="8">G30+$C$40</f>
        <v>9.0379999999999988E-2</v>
      </c>
      <c r="H31" s="1">
        <f>1*(1-$G$29)*(1-$G$30)*G31</f>
        <v>8.4985389521999993E-2</v>
      </c>
    </row>
    <row r="32" spans="1:17" x14ac:dyDescent="0.15">
      <c r="A32" s="1">
        <v>4</v>
      </c>
      <c r="B32" s="20">
        <v>0.82850000000000001</v>
      </c>
      <c r="C32" s="21">
        <v>4.0189999999999997E-2</v>
      </c>
      <c r="F32" s="1">
        <v>4</v>
      </c>
      <c r="G32" s="22">
        <f t="shared" si="8"/>
        <v>0.13056999999999999</v>
      </c>
      <c r="H32" s="1">
        <f>1*(1-$G$29)*(1-$G$30)*(1-$G$31)*G32</f>
        <v>0.11167998247311245</v>
      </c>
    </row>
    <row r="33" spans="1:8" x14ac:dyDescent="0.15">
      <c r="A33" s="1">
        <v>5</v>
      </c>
      <c r="B33" s="20">
        <v>0.57150000000000001</v>
      </c>
      <c r="C33" s="21">
        <v>4.0189999999999997E-2</v>
      </c>
      <c r="F33" s="1">
        <v>5</v>
      </c>
      <c r="G33" s="22">
        <f t="shared" si="8"/>
        <v>0.17076</v>
      </c>
      <c r="H33" s="1">
        <f>1*(1-$G$29)*(1-$G$30)*(1-$G$31)*(1-$G$32)*G33</f>
        <v>0.1269850811221146</v>
      </c>
    </row>
    <row r="34" spans="1:8" x14ac:dyDescent="0.15">
      <c r="A34" s="1">
        <v>6</v>
      </c>
      <c r="B34" s="20">
        <v>0.46650000000000003</v>
      </c>
      <c r="C34" s="21">
        <v>4.0189999999999997E-2</v>
      </c>
      <c r="F34" s="1">
        <v>6</v>
      </c>
      <c r="G34" s="22">
        <f t="shared" si="8"/>
        <v>0.21095</v>
      </c>
      <c r="H34" s="1">
        <f>1*(1-$G$29)*(1-$G$30)*(1-$G$31)*(1-$G$32)*(1-$G$33)*G34</f>
        <v>0.13008473221992098</v>
      </c>
    </row>
    <row r="35" spans="1:8" x14ac:dyDescent="0.15">
      <c r="A35" s="1">
        <v>7</v>
      </c>
      <c r="B35" s="20">
        <v>0.38200000000000001</v>
      </c>
      <c r="C35" s="21">
        <v>4.0189999999999997E-2</v>
      </c>
      <c r="F35" s="1">
        <v>7</v>
      </c>
      <c r="G35" s="22">
        <f t="shared" si="8"/>
        <v>0.25113999999999997</v>
      </c>
      <c r="H35" s="1">
        <f>1*(1-$G$29)*(1-$G$30)*(1-$G$31)*(1-$G$32)*(1-$G$33)*(1-$G$34)*G35</f>
        <v>0.12219887612042865</v>
      </c>
    </row>
    <row r="36" spans="1:8" x14ac:dyDescent="0.15">
      <c r="A36" s="1">
        <v>8</v>
      </c>
      <c r="B36" s="20">
        <v>0.30859999999999999</v>
      </c>
      <c r="C36" s="21">
        <v>4.0189999999999997E-2</v>
      </c>
      <c r="F36" s="1">
        <v>8</v>
      </c>
      <c r="G36" s="22">
        <f t="shared" si="8"/>
        <v>0.29132999999999998</v>
      </c>
      <c r="H36" s="1">
        <f>1*(1-$G$29)*(1-$G$30)*(1-$G$31)*(1-$G$32)*(1-$G$33)*(1-$G$34)*(1-$G$35)*G36</f>
        <v>0.10615419570256422</v>
      </c>
    </row>
    <row r="37" spans="1:8" x14ac:dyDescent="0.15">
      <c r="A37" s="1">
        <v>9</v>
      </c>
      <c r="B37" s="20">
        <v>0.20430000000000001</v>
      </c>
      <c r="C37" s="21">
        <v>4.0189999999999997E-2</v>
      </c>
      <c r="F37" s="1">
        <v>9</v>
      </c>
      <c r="G37" s="22">
        <f t="shared" si="8"/>
        <v>0.33151999999999998</v>
      </c>
      <c r="H37" s="1">
        <f>1*(1-$G$29)*(1-$G$30)*(1-$G$31)*(1-$G$32)*(1-$G$33)*(1-$G$34)*(1-$G$35)*(1-$G$36)*G37</f>
        <v>8.5606302074270127E-2</v>
      </c>
    </row>
    <row r="38" spans="1:8" x14ac:dyDescent="0.15">
      <c r="A38" s="1">
        <v>10</v>
      </c>
      <c r="B38" s="20">
        <v>0.19550000000000001</v>
      </c>
      <c r="C38" s="21">
        <v>4.0189999999999997E-2</v>
      </c>
      <c r="F38" s="1">
        <v>10</v>
      </c>
      <c r="G38" s="22">
        <f t="shared" si="8"/>
        <v>0.37170999999999998</v>
      </c>
      <c r="H38" s="1">
        <f>1*(1-$G$29)*(1-$G$30)*(1-$G$31)*(1-$G$32)*(1-$G$33)*(1-$G$34)*(1-$G$35)*(1-$G$36)*(1-$G$37)*G38</f>
        <v>6.4163591735977105E-2</v>
      </c>
    </row>
    <row r="39" spans="1:8" x14ac:dyDescent="0.15">
      <c r="A39" s="1">
        <v>11</v>
      </c>
      <c r="B39" s="20">
        <v>0.1148</v>
      </c>
      <c r="C39" s="21">
        <v>4.0189999999999997E-2</v>
      </c>
      <c r="F39" s="1">
        <v>11</v>
      </c>
      <c r="G39" s="22">
        <f t="shared" si="8"/>
        <v>0.41189999999999999</v>
      </c>
      <c r="H39" s="1">
        <f>1*(1-$G$29)*(1-$G$30)*(1-$G$31)*(1-$G$32)*(1-$G$33)*(1-$G$34)*(1-$G$35)*(1-$G$36)*(1-$G$37)*(1-$G$38)*G39</f>
        <v>4.467209922529717E-2</v>
      </c>
    </row>
    <row r="40" spans="1:8" x14ac:dyDescent="0.15">
      <c r="A40" s="1">
        <v>12</v>
      </c>
      <c r="B40" s="20">
        <v>0.01</v>
      </c>
      <c r="C40" s="21">
        <v>4.0189999999999997E-2</v>
      </c>
      <c r="D40" s="1">
        <f>SUMPRODUCT(F29:F54,H29:H54)</f>
        <v>6.6665517660390456</v>
      </c>
      <c r="F40" s="1">
        <v>12</v>
      </c>
      <c r="G40" s="22">
        <f t="shared" si="8"/>
        <v>0.45208999999999999</v>
      </c>
      <c r="H40" s="1">
        <f>1*(1-$G$29)*(1-$G$30)*(1-$G$31)*(1-$G$32)*(1-$G$33)*(1-$G$34)*(1-$G$35)*(1-$G$36)*(1-$G$37)*(1-$G$38)*(1-$G$39)*G40</f>
        <v>2.883504606003268E-2</v>
      </c>
    </row>
    <row r="41" spans="1:8" x14ac:dyDescent="0.15">
      <c r="F41" s="1">
        <v>13</v>
      </c>
      <c r="G41" s="22">
        <f>G40+$C$40</f>
        <v>0.49228</v>
      </c>
      <c r="H41" s="1">
        <f>1*(1-$G$29)*(1-$G$30)*(1-$G$31)*(1-$G$32)*(1-$G$33)*(1-$G$34)*(1-$G$35)*(1-$G$36)*(1-$G$37)*(1-$G$38)*(1-$G$39)*(1-$G$40)*G41</f>
        <v>1.7203514091235207E-2</v>
      </c>
    </row>
    <row r="42" spans="1:8" x14ac:dyDescent="0.15">
      <c r="F42" s="1">
        <v>14</v>
      </c>
      <c r="G42" s="22">
        <f t="shared" si="8"/>
        <v>0.53247</v>
      </c>
      <c r="H42" s="1">
        <f>1*(1-$G$29)*(1-$G$30)*(1-$G$31)*(1-$G$32)*(1-$G$33)*(1-$G$34)*(1-$G$35)*(1-$G$36)*(1-$G$37)*(1-$G$38)*(1-$G$39)*(1-$G$40)*(1-$G$41)*G42</f>
        <v>9.447662947557894E-3</v>
      </c>
    </row>
    <row r="43" spans="1:8" x14ac:dyDescent="0.15">
      <c r="F43" s="1">
        <v>15</v>
      </c>
      <c r="G43" s="22">
        <f t="shared" si="8"/>
        <v>0.57265999999999995</v>
      </c>
      <c r="H43" s="1">
        <f>1*(1-$G$29)*(1-$G$30)*(1-$G$31)*(1-$G$32)*(1-$G$33)*(1-$G$34)*(1-$G$35)*(1-$G$36)*(1-$G$37)*(1-$G$38)*(1-$G$39)*(1-$G$40)*(1-$G$41)*(1-$G$42)*G43</f>
        <v>4.7504590571653465E-3</v>
      </c>
    </row>
    <row r="44" spans="1:8" x14ac:dyDescent="0.15">
      <c r="F44" s="1">
        <v>16</v>
      </c>
      <c r="G44" s="22">
        <f t="shared" si="8"/>
        <v>0.61284999999999989</v>
      </c>
      <c r="H44" s="1">
        <f>1*(1-$G$29)*(1-$G$30)*(1-$G$31)*(1-$G$32)*(1-$G$33)*(1-$G$34)*(1-$G$35)*(1-$G$36)*(1-$G$37)*(1-$G$38)*(1-$G$39)*(1-$G$40)*(1-$G$41)*(1-$G$42)*(1-$G$43)*G44</f>
        <v>2.1725334232751679E-3</v>
      </c>
    </row>
    <row r="45" spans="1:8" x14ac:dyDescent="0.15">
      <c r="F45" s="1">
        <v>17</v>
      </c>
      <c r="G45" s="22">
        <f t="shared" si="8"/>
        <v>0.65303999999999984</v>
      </c>
      <c r="H45" s="1">
        <f>1*(1-$G$29)*(1-$G$30)*(1-$G$31)*(1-$G$32)*(1-$G$33)*(1-$G$34)*(1-$G$35)*(1-$G$36)*(1-$G$37)*(1-$G$38)*(1-$G$39)*(1-$G$40)*(1-$G$41)*(1-$G$42)*(1-$G$43)*(1-$G$44)*G45</f>
        <v>8.9625444632568125E-4</v>
      </c>
    </row>
    <row r="46" spans="1:8" x14ac:dyDescent="0.15">
      <c r="F46" s="1">
        <v>18</v>
      </c>
      <c r="G46" s="22">
        <f>G45+$C$40</f>
        <v>0.69322999999999979</v>
      </c>
      <c r="H46" s="1">
        <f>1*(1-$G$29)*(1-$G$30)*(1-$G$31)*(1-$G$32)*(1-$G$33)*(1-$G$34)*(1-$G$35)*(1-$G$36)*(1-$G$37)*(1-$G$38)*(1-$G$39)*(1-$G$40)*(1-$G$41)*(1-$G$42)*(1-$G$43)*(1-$G$44)*(1-$G$45)*G46</f>
        <v>3.3010210800402909E-4</v>
      </c>
    </row>
    <row r="47" spans="1:8" x14ac:dyDescent="0.15">
      <c r="F47" s="1">
        <v>19</v>
      </c>
      <c r="G47" s="22">
        <f t="shared" si="8"/>
        <v>0.73341999999999974</v>
      </c>
      <c r="H47" s="1">
        <f>1*(1-$G$29)*(1-$G$30)*(1-$G$31)*(1-$G$32)*(1-$G$33)*(1-$G$34)*(1-$G$35)*(1-$G$36)*(1-$G$37)*(1-$G$38)*(1-$G$39)*(1-$G$40)*(1-$G$41)*(1-$G$42)*(1-$G$43)*(1-$G$44)*(1-$G$45)*(1-$G$46)*G47</f>
        <v>1.0713628525858478E-4</v>
      </c>
    </row>
    <row r="48" spans="1:8" x14ac:dyDescent="0.15">
      <c r="F48" s="1">
        <v>20</v>
      </c>
      <c r="G48" s="22">
        <f t="shared" si="8"/>
        <v>0.77360999999999969</v>
      </c>
      <c r="H48" s="1">
        <f>1*(1-$G$29)*(1-$G$30)*(1-$G$31)*(1-$G$32)*(1-$G$33)*(1-$G$34)*(1-$G$35)*(1-$G$36)*(1-$G$37)*(1-$G$38)*(1-$G$39)*(1-$G$40)*(1-$G$41)*(1-$G$42)*(1-$G$43)*(1-$G$44)*(1-$G$45)*(1-$G$46)*(1-$G$47)*G48</f>
        <v>3.0125445205879741E-5</v>
      </c>
    </row>
    <row r="49" spans="6:8" x14ac:dyDescent="0.15">
      <c r="F49" s="1">
        <v>21</v>
      </c>
      <c r="G49" s="22">
        <f t="shared" si="8"/>
        <v>0.81379999999999963</v>
      </c>
      <c r="H49" s="1">
        <f>1*(1-$G$29)*(1-$G$30)*(1-$G$31)*(1-$G$32)*(1-$G$33)*(1-$G$34)*(1-$G$35)*(1-$G$36)*(1-$G$37)*(1-$G$38)*(1-$G$39)*(1-$G$40)*(1-$G$41)*(1-$G$42)*(1-$G$43)*(1-$G$44)*(1-$G$45)*(1-$G$46)*(1-$G$47)*(1-$G$48)*G49</f>
        <v>7.1744121789810041E-6</v>
      </c>
    </row>
    <row r="50" spans="6:8" x14ac:dyDescent="0.15">
      <c r="F50" s="1">
        <v>22</v>
      </c>
      <c r="G50" s="22">
        <f t="shared" si="8"/>
        <v>0.85398999999999958</v>
      </c>
      <c r="H50" s="1">
        <f>1*(1-$G$29)*(1-$G$30)*(1-$G$31)*(1-$G$32)*(1-$G$33)*(1-$G$34)*(1-$G$35)*(1-$G$36)*(1-$G$37)*(1-$G$38)*(1-$G$39)*(1-$G$40)*(1-$G$41)*(1-$G$42)*(1-$G$43)*(1-$G$44)*(1-$G$45)*(1-$G$46)*(1-$G$47)*(1-$G$48)*(1-$G$49)*G50</f>
        <v>1.4018485610748997E-6</v>
      </c>
    </row>
    <row r="51" spans="6:8" x14ac:dyDescent="0.15">
      <c r="F51" s="1">
        <v>23</v>
      </c>
      <c r="G51" s="22">
        <f t="shared" si="8"/>
        <v>0.89417999999999953</v>
      </c>
      <c r="H51" s="1">
        <f>1*(1-$G$29)*(1-$G$30)*(1-$G$31)*(1-$G$32)*(1-$G$33)*(1-$G$34)*(1-$G$35)*(1-$G$36)*(1-$G$37)*(1-$G$38)*(1-$G$39)*(1-$G$40)*(1-$G$41)*(1-$G$42)*(1-$G$43)*(1-$G$44)*(1-$G$45)*(1-$G$46)*(1-$G$47)*(1-$G$48)*(1-$G$49)*(1-$G$50)*G51</f>
        <v>2.1431662808158081E-7</v>
      </c>
    </row>
    <row r="52" spans="6:8" x14ac:dyDescent="0.15">
      <c r="F52" s="1">
        <v>24</v>
      </c>
      <c r="G52" s="22">
        <f t="shared" si="8"/>
        <v>0.93436999999999948</v>
      </c>
      <c r="H52" s="1">
        <f>1*(1-$G$29)*(1-$G$30)*(1-$G$31)*(1-$G$32)*(1-$G$33)*(1-$G$34)*(1-$G$35)*(1-$G$36)*(1-$G$37)*(1-$G$38)*(1-$G$39)*(1-$G$40)*(1-$G$41)*(1-$G$42)*(1-$G$43)*(1-$G$44)*(1-$G$45)*(1-$G$46)*(1-$G$47)*(1-$G$48)*(1-$G$49)*(1-$G$50)*(1-$G$51)*G52</f>
        <v>2.3698319980028377E-8</v>
      </c>
    </row>
    <row r="53" spans="6:8" x14ac:dyDescent="0.15">
      <c r="F53" s="1">
        <v>25</v>
      </c>
      <c r="G53" s="22">
        <f t="shared" si="8"/>
        <v>0.97455999999999943</v>
      </c>
      <c r="H53" s="1">
        <f>1*(1-$G$29)*(1-$G$30)*(1-$G$31)*(1-$G$32)*(1-$G$33)*(1-$G$34)*(1-$G$35)*(1-$G$36)*(1-$G$37)*(1-$G$38)*(1-$G$39)*(1-$G$40)*(1-$G$41)*(1-$G$42)*(1-$G$43)*(1-$G$44)*(1-$G$45)*(1-$G$46)*(1-$G$47)*(1-$G$48)*(1-$G$49)*(1-$G$50)*(1-$G$51)*(1-$G$52)*G53</f>
        <v>1.6222196567273304E-9</v>
      </c>
    </row>
    <row r="54" spans="6:8" x14ac:dyDescent="0.15">
      <c r="F54" s="1">
        <v>26</v>
      </c>
      <c r="G54" s="22">
        <f>MIN(100%,G53+$C$40)</f>
        <v>1</v>
      </c>
      <c r="H54" s="1">
        <f>1*(1-$G$29)*(1-$G$30)*(1-$G$31)*(1-$G$32)*(1-$G$33)*(1-$G$34)*(1-$G$35)*(1-$G$36)*(1-$G$37)*(1-$G$38)*(1-$G$39)*(1-$G$40)*(1-$G$41)*(1-$G$42)*(1-$G$43)*(1-$G$44)*(1-$G$45)*(1-$G$46)*(1-$G$47)*(1-$G$48)*(1-$G$49)*(1-$G$50)*(1-$G$51)*(1-$G$52)*(1-$G$53)*G54</f>
        <v>4.2346564672410359E-11</v>
      </c>
    </row>
    <row r="55" spans="6:8" x14ac:dyDescent="0.15">
      <c r="G55" s="22"/>
    </row>
    <row r="56" spans="6:8" x14ac:dyDescent="0.15">
      <c r="G56" s="22"/>
    </row>
    <row r="57" spans="6:8" x14ac:dyDescent="0.15">
      <c r="G57" s="22"/>
    </row>
    <row r="58" spans="6:8" x14ac:dyDescent="0.15">
      <c r="G58" s="22"/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3"/>
  <sheetViews>
    <sheetView tabSelected="1" workbookViewId="0">
      <selection activeCell="O19" sqref="O19"/>
    </sheetView>
  </sheetViews>
  <sheetFormatPr defaultRowHeight="13.5" x14ac:dyDescent="0.15"/>
  <cols>
    <col min="1" max="16384" width="9" style="1"/>
  </cols>
  <sheetData>
    <row r="1" spans="1:14" ht="19.899999999999999" customHeight="1" x14ac:dyDescent="0.15">
      <c r="A1" s="1" t="s">
        <v>89</v>
      </c>
    </row>
    <row r="2" spans="1:14" x14ac:dyDescent="0.15">
      <c r="A2" s="1" t="s">
        <v>51</v>
      </c>
    </row>
    <row r="3" spans="1:14" x14ac:dyDescent="0.15">
      <c r="A3" s="1" t="s">
        <v>50</v>
      </c>
      <c r="B3" s="1">
        <f>3*(1+1/2+1/3)</f>
        <v>5.5</v>
      </c>
    </row>
    <row r="5" spans="1:14" ht="14.25" customHeight="1" x14ac:dyDescent="0.15">
      <c r="A5" s="1" t="s">
        <v>90</v>
      </c>
    </row>
    <row r="6" spans="1:14" x14ac:dyDescent="0.15">
      <c r="A6" s="1" t="s">
        <v>91</v>
      </c>
    </row>
    <row r="7" spans="1:14" x14ac:dyDescent="0.15">
      <c r="A7" s="1" t="s">
        <v>92</v>
      </c>
      <c r="B7" s="1">
        <f>1/(1/2)+1/(1/3)+1/(1/6)-1/(1/2+1/3)-1/(1/2+1/6)-1/(1/3+1/6)+1/(1/2+1/3+1/6)</f>
        <v>7.3000000000000007</v>
      </c>
    </row>
    <row r="9" spans="1:14" x14ac:dyDescent="0.15">
      <c r="A9" s="1" t="s">
        <v>55</v>
      </c>
    </row>
    <row r="10" spans="1:14" x14ac:dyDescent="0.15">
      <c r="A10" s="1" t="s">
        <v>52</v>
      </c>
    </row>
    <row r="11" spans="1:14" x14ac:dyDescent="0.15">
      <c r="A11" s="1" t="s">
        <v>54</v>
      </c>
      <c r="B11" s="1">
        <f>calE()</f>
        <v>415.57410018373611</v>
      </c>
    </row>
    <row r="13" spans="1:14" x14ac:dyDescent="0.15">
      <c r="A13" s="1" t="s">
        <v>67</v>
      </c>
      <c r="N13" s="1" t="s">
        <v>49</v>
      </c>
    </row>
    <row r="14" spans="1:14" x14ac:dyDescent="0.15">
      <c r="A14" s="1" t="s">
        <v>56</v>
      </c>
      <c r="B14" s="1" t="s">
        <v>57</v>
      </c>
      <c r="C14" s="1" t="s">
        <v>59</v>
      </c>
      <c r="D14" s="1" t="s">
        <v>61</v>
      </c>
      <c r="E14" s="1" t="s">
        <v>63</v>
      </c>
      <c r="F14" s="1" t="s">
        <v>65</v>
      </c>
    </row>
    <row r="15" spans="1:14" x14ac:dyDescent="0.15">
      <c r="A15" s="1" t="s">
        <v>58</v>
      </c>
      <c r="B15" s="1">
        <v>0.4</v>
      </c>
      <c r="C15" s="1">
        <v>0.3</v>
      </c>
      <c r="D15" s="1">
        <v>0.19</v>
      </c>
      <c r="E15" s="1">
        <v>0.08</v>
      </c>
      <c r="F15" s="1">
        <v>0.03</v>
      </c>
    </row>
    <row r="16" spans="1:14" x14ac:dyDescent="0.15">
      <c r="A16" s="1" t="s">
        <v>60</v>
      </c>
      <c r="B16" s="1">
        <v>0</v>
      </c>
      <c r="C16" s="1">
        <v>0.7</v>
      </c>
      <c r="D16" s="1">
        <v>0.16</v>
      </c>
      <c r="E16" s="1">
        <v>0.1</v>
      </c>
      <c r="F16" s="1">
        <v>0.04</v>
      </c>
    </row>
    <row r="17" spans="1:7" x14ac:dyDescent="0.15">
      <c r="A17" s="1" t="s">
        <v>62</v>
      </c>
      <c r="B17" s="1">
        <v>0</v>
      </c>
      <c r="C17" s="1">
        <v>0</v>
      </c>
      <c r="D17" s="1">
        <v>0.8</v>
      </c>
      <c r="E17" s="1">
        <v>0.15</v>
      </c>
      <c r="F17" s="1">
        <v>0.05</v>
      </c>
    </row>
    <row r="18" spans="1:7" x14ac:dyDescent="0.15">
      <c r="A18" s="1" t="s">
        <v>64</v>
      </c>
      <c r="B18" s="1">
        <v>0</v>
      </c>
      <c r="C18" s="1">
        <v>0</v>
      </c>
      <c r="D18" s="1">
        <v>0</v>
      </c>
      <c r="E18" s="1">
        <v>0.94</v>
      </c>
      <c r="F18" s="1">
        <v>0.06</v>
      </c>
    </row>
    <row r="19" spans="1:7" x14ac:dyDescent="0.15">
      <c r="A19" s="1" t="s">
        <v>66</v>
      </c>
      <c r="B19" s="1">
        <v>0</v>
      </c>
      <c r="C19" s="1">
        <v>0</v>
      </c>
      <c r="D19" s="1">
        <v>0</v>
      </c>
      <c r="E19" s="1">
        <v>0</v>
      </c>
      <c r="F19" s="1">
        <v>1</v>
      </c>
    </row>
    <row r="21" spans="1:7" x14ac:dyDescent="0.15">
      <c r="A21" s="1" t="s">
        <v>68</v>
      </c>
      <c r="B21" s="1" t="s">
        <v>93</v>
      </c>
      <c r="C21" s="1" t="s">
        <v>94</v>
      </c>
      <c r="D21" s="1" t="s">
        <v>69</v>
      </c>
      <c r="E21" s="1" t="s">
        <v>70</v>
      </c>
      <c r="F21" s="1" t="s">
        <v>71</v>
      </c>
      <c r="G21" s="1" t="s">
        <v>53</v>
      </c>
    </row>
    <row r="22" spans="1:7" x14ac:dyDescent="0.15">
      <c r="A22" s="1">
        <v>1</v>
      </c>
      <c r="B22" s="1" t="s">
        <v>58</v>
      </c>
      <c r="C22" s="1" t="s">
        <v>66</v>
      </c>
      <c r="G22" s="1">
        <v>0.03</v>
      </c>
    </row>
    <row r="23" spans="1:7" x14ac:dyDescent="0.15">
      <c r="A23" s="1">
        <v>2</v>
      </c>
      <c r="B23" s="1" t="s">
        <v>58</v>
      </c>
      <c r="C23" s="1" t="s">
        <v>72</v>
      </c>
      <c r="D23" s="1" t="s">
        <v>66</v>
      </c>
      <c r="G23" s="1">
        <f>C15*F16</f>
        <v>1.2E-2</v>
      </c>
    </row>
    <row r="24" spans="1:7" x14ac:dyDescent="0.15">
      <c r="A24" s="1">
        <v>3</v>
      </c>
      <c r="B24" s="1" t="s">
        <v>73</v>
      </c>
      <c r="C24" s="1" t="s">
        <v>80</v>
      </c>
      <c r="D24" s="1" t="s">
        <v>81</v>
      </c>
      <c r="G24" s="1">
        <f>D15*F17</f>
        <v>9.5000000000000015E-3</v>
      </c>
    </row>
    <row r="25" spans="1:7" x14ac:dyDescent="0.15">
      <c r="A25" s="1">
        <v>4</v>
      </c>
      <c r="B25" s="1" t="s">
        <v>77</v>
      </c>
      <c r="C25" s="1" t="s">
        <v>79</v>
      </c>
      <c r="D25" s="1" t="s">
        <v>81</v>
      </c>
      <c r="G25" s="1">
        <f>E15*F18</f>
        <v>4.7999999999999996E-3</v>
      </c>
    </row>
    <row r="26" spans="1:7" x14ac:dyDescent="0.15">
      <c r="A26" s="1">
        <v>5</v>
      </c>
      <c r="B26" s="1" t="s">
        <v>77</v>
      </c>
      <c r="C26" s="1" t="s">
        <v>78</v>
      </c>
      <c r="D26" s="1" t="s">
        <v>74</v>
      </c>
      <c r="E26" s="1" t="s">
        <v>76</v>
      </c>
      <c r="G26" s="1">
        <f>C15*D16*F17</f>
        <v>2.4000000000000002E-3</v>
      </c>
    </row>
    <row r="27" spans="1:7" x14ac:dyDescent="0.15">
      <c r="A27" s="1">
        <v>6</v>
      </c>
      <c r="B27" s="1" t="s">
        <v>73</v>
      </c>
      <c r="C27" s="1" t="s">
        <v>82</v>
      </c>
      <c r="D27" s="1" t="s">
        <v>75</v>
      </c>
      <c r="E27" s="1" t="s">
        <v>76</v>
      </c>
      <c r="G27" s="1">
        <f>C15*E16*F18</f>
        <v>1.8E-3</v>
      </c>
    </row>
    <row r="28" spans="1:7" x14ac:dyDescent="0.15">
      <c r="A28" s="1">
        <v>7</v>
      </c>
      <c r="B28" s="1" t="s">
        <v>83</v>
      </c>
      <c r="C28" s="1" t="s">
        <v>74</v>
      </c>
      <c r="D28" s="1" t="s">
        <v>75</v>
      </c>
      <c r="E28" s="1" t="s">
        <v>84</v>
      </c>
      <c r="G28" s="1">
        <f>D15*E17*F18</f>
        <v>1.7099999999999997E-3</v>
      </c>
    </row>
    <row r="29" spans="1:7" x14ac:dyDescent="0.15">
      <c r="A29" s="1">
        <v>8</v>
      </c>
      <c r="B29" s="1" t="s">
        <v>73</v>
      </c>
      <c r="C29" s="1" t="s">
        <v>82</v>
      </c>
      <c r="D29" s="1" t="s">
        <v>85</v>
      </c>
      <c r="E29" s="1" t="s">
        <v>86</v>
      </c>
      <c r="F29" s="1" t="s">
        <v>76</v>
      </c>
      <c r="G29" s="1">
        <f>C15*D16*E17*F18</f>
        <v>4.3199999999999998E-4</v>
      </c>
    </row>
    <row r="32" spans="1:7" x14ac:dyDescent="0.15">
      <c r="A32" s="1" t="s">
        <v>87</v>
      </c>
      <c r="B32" s="1">
        <f>SUM(G22:G29)</f>
        <v>6.2642000000000003E-2</v>
      </c>
    </row>
    <row r="33" spans="1:2" x14ac:dyDescent="0.15">
      <c r="A33" s="1" t="s">
        <v>88</v>
      </c>
      <c r="B33" s="1">
        <f>1/B32</f>
        <v>15.963730404520927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目录</vt:lpstr>
      <vt:lpstr>装备强化</vt:lpstr>
      <vt:lpstr>期望计算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2019-03-12T03:13:10Z</dcterms:modified>
</cp:coreProperties>
</file>